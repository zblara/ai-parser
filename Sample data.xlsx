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cuments/MILab/"/>
    </mc:Choice>
  </mc:AlternateContent>
  <xr:revisionPtr revIDLastSave="0" documentId="13_ncr:1_{B4253741-A09C-9146-9EBA-2DCA01441D95}" xr6:coauthVersionLast="47" xr6:coauthVersionMax="47" xr10:uidLastSave="{00000000-0000-0000-0000-000000000000}"/>
  <bookViews>
    <workbookView xWindow="0" yWindow="500" windowWidth="20740" windowHeight="11160" xr2:uid="{D3E3A87C-10B9-4E34-B7F3-B16A4E370803}"/>
  </bookViews>
  <sheets>
    <sheet name="Roary" sheetId="2" r:id="rId1"/>
    <sheet name="Prokka" sheetId="3" r:id="rId2"/>
    <sheet name="eggnog" sheetId="4" r:id="rId3"/>
    <sheet name="KEGG" sheetId="5" r:id="rId4"/>
    <sheet name="antiSMAS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5" i="4" l="1"/>
  <c r="J5" i="4"/>
  <c r="R4" i="4"/>
  <c r="J4" i="4"/>
  <c r="R3" i="4"/>
  <c r="J3" i="4"/>
  <c r="R2" i="4"/>
  <c r="J2" i="4"/>
</calcChain>
</file>

<file path=xl/sharedStrings.xml><?xml version="1.0" encoding="utf-8"?>
<sst xmlns="http://schemas.openxmlformats.org/spreadsheetml/2006/main" count="144" uniqueCount="99">
  <si>
    <t>Start</t>
  </si>
  <si>
    <t>End</t>
  </si>
  <si>
    <t>G+C%</t>
  </si>
  <si>
    <t>P1_00959</t>
  </si>
  <si>
    <t>tycB</t>
  </si>
  <si>
    <t>Tyrocidine synthase 2</t>
  </si>
  <si>
    <t>1159078</t>
  </si>
  <si>
    <t>1160604</t>
  </si>
  <si>
    <t>Q</t>
  </si>
  <si>
    <t>non-ribosomal peptide synthetase</t>
  </si>
  <si>
    <t>P1_00960</t>
  </si>
  <si>
    <t>lgrB_2</t>
  </si>
  <si>
    <t>Linear gramicidin synthase subunit B</t>
  </si>
  <si>
    <t>1160655</t>
  </si>
  <si>
    <t>1162382</t>
  </si>
  <si>
    <t>P1_00961</t>
  </si>
  <si>
    <t>grsB</t>
  </si>
  <si>
    <t>Gramicidin S synthase 2</t>
  </si>
  <si>
    <t>1162466</t>
  </si>
  <si>
    <t>1170349</t>
  </si>
  <si>
    <t>P1_00962</t>
  </si>
  <si>
    <t>dhbF_4</t>
  </si>
  <si>
    <t>Dimodular nonribosomal peptide synthase</t>
  </si>
  <si>
    <t>1170396</t>
  </si>
  <si>
    <t>1177598</t>
  </si>
  <si>
    <t>group_7231</t>
  </si>
  <si>
    <t>CP097800</t>
  </si>
  <si>
    <t>CDS</t>
  </si>
  <si>
    <t>+</t>
  </si>
  <si>
    <t>P1_1_00959</t>
  </si>
  <si>
    <t>590409.Dd586_3044</t>
  </si>
  <si>
    <t>32.762</t>
  </si>
  <si>
    <t>2.18e-36</t>
  </si>
  <si>
    <t>151</t>
  </si>
  <si>
    <t>ATGCACGCCGACGAGGCGCACGGACCACGGCATTCGCTCGTCCGGACCCTGATCCGCGCCGTCCGGCGCGACCCCGCGGCGGTCGCCGTCGTCGACGGCGGCGTCGCCCACACCTACGGCGAACTCGACAGCCGCTCCGCCGACATCGCGGGCGGGCTCGCCGCCCGGGGCCTGGGACCCGACGACGTGGTCGCCGTCCACGGCCCACGGTCCTGGGAGCGGTGCGCCGCCGTGCTCGGCGCCTGGCGGGCGGGGGTGGGCGTGGTCTGCGTGGACCCGGGCATGCCCGCGCCGCGGGCCGCCCGGATCGCCCGACACTGCGCCCTGCTGGTCCGTCCCGACCACACCGCGCCGACCGGGCTCGGCCCCGCCGAGGTCGCCTTCGGCGAGCTGCGCGGCGCCCCGCTGGAGGAGCTGCGCGAGGGAATCCTCGGGTACGTCATTCCCACCTCCGGATCGACCGGTGAGCCCAAGTCGGTGGCCGTGGCGTCCTCGGTGCTGGCCGCGCTCGGCGACTGGCACGTACGGAACTGGGCCCACGACCGCCCGCCGCACACCCTCCAGGCGGCTTCCATCGGCTTCGACGTGGGCTATGAGGAGATCGTCGCCACCTGGCTGGCCGGGGCCGCGCTGGTCGTGGTCTCCGACGAGGAACGCCAGGACCCCTTCGCGCTGATGGACGTGATCCGCGCACACCGGGTCGCCCGGCTGTTCCTGCCGGTGGTGGGGCTGCACGCGCTGGCCACGGCCGCCGTGTTCGAACCGGGCGCGATGCCCGACCTGCGGGAGATCGCGGTCGCGGGCGAGCGCCTGGTCGTCAACTCCGAGGTGCGGGAGTTCTGCGCGGCCGCCGGGGTCGCGCTGGTCAACGAGTACGGGCCCAGCGAGACCCACGTGGTCACGCAGTACCGGCTGGATCCCCGGGAGGCCGCTTCCTGGCCCGAGCACCCGCCGATCGGCGGCGCCGTCGCCGGCGCGGAGCTGCTGCGCGAGGCGGACGGCGGGCTGCGGCCGTTCGCGGCGGGCGAGGAGGCGGAGCTGGTCGTCGGCGGGGGCAGTGTCGGCCTCGGCTACCTGGGCGACCCGGAGCTGACGGCGACCCGCTTCCGGACCCTGCCGCACCGCGACGGGATCCCGCGCCGTACGTACGCCACGGGGGACCTCGTCCGGTTCGACGGGGCGGACTTCCACTTCGTGGCCCGGGTCGACGACCAGCTCAAGGTGAGCGGGTACCGGGTCGAGCCCGGCGAGGTCGAGGCGGTCCTGGGCGCGGTCCCGGGGGTCCGCCGGGCCGTGGTGGTGGCGGTGGAGGTCGCGGGCTCGCGCCGACTCGCGGCCGTGTGGACCCGGACGGGGGCAGACGGCCCCGGGCCCGAGGAACTGGCCGCGGCGTGCGCGGCGCAGCTGCCGGCGTACATGGTGCCCCGGCACTTCCGGCCGGTGGCGGAGCTGCCGGTGACCGCCAACGGAAAGGTCGACCGGGCCGCCCTGCGGGCGCTGTTCGCCCCGGCCCGCACCGCCGTCTGA</t>
  </si>
  <si>
    <t>MHADEAHGPRHSLVRTLIRAVRRDPAAVAVVDGGVAHTYGELDSRSADIAGGLAARGLGPDDVVAVHGPRSWERCAAVLGAWRAGVGVVCVDPGMPAPRAARIARHCALLVRPDHTAPTGLGPAEVAFGELRGAPLEELREGILGYVIPTSGSTGEPKSVAVASSVLAALGDWHVRNWAHDRPPHTLQAASIGFDVGYEEIVATWLAGAALVVVSDEERQDPFALMDVIRAHRVARLFLPVVGLHALATAAVFEPGAMPDLREIAVAGERLVVNSEVREFCAAAGVALVNEYGPSETHVVTQYRLDPREAASWPEHPPIGGAVAGAELLREADGGLRPFAAGEEAELVVGGGSVGLGYLGDPELTATRFRTLPHRDGIPRRTYATGDLVRFDGADFHFVARVDDQLKVSGYRVEPGEVEAVLGAVPGVRRAVVVAVEVAGSRRLAAVWTRTGADGPGPEELAAACAAQLPAYMVPRHFRPVAELPVTANGKVDRAALRALFAPARTAV</t>
  </si>
  <si>
    <t>P1_1_00960</t>
  </si>
  <si>
    <t>471852.Tcur_1887</t>
  </si>
  <si>
    <t>27.852</t>
  </si>
  <si>
    <t>8.22e-09</t>
  </si>
  <si>
    <t>66.6</t>
  </si>
  <si>
    <t>ATGAGGGGAATCGACGTGACCGAGGCGGAGCAGATCCTGTGCGGTGTCCTGGCGGACCTGTTCGGAATCCGGGAGGTCGGCCCGCAGGACGGCTTCGTCCGGCTCGGTGGTGACAGCATCATCGCCGTGCAGGTGGTCGGCGCGGCCCGCCGGGCCGGGCTGCGCATCACCGTCCGGGACGTGCTGACCCTGCCGGACGTGGCGGCCCTGGCCGACGCCGCCCGGCCGCTGGCCCGGTCCGCCCGGTCGGGCGACGACGACGGCGTCGGGCCGGTCCGGCCGACGCCGGTCATGCACTGGCTCGACGAGCGGGGCGGGCCGGCCGACCGCTACTACCAGTACCTGGTGGTGCGGACCCCGGCCGGGCTGACCGGACAGGGCGCGTCCGAGGTGCTCCAGGCAATCCTGGACCGGCACGACATGCTGCGCGTGATCCGGGACGGCTCCGGCTGGCGGACCCGCCCGGCCGGGTCGGTGCCCGCCGCCCCGTGCCTGCGCCGGGTGTCGACGGAGGGCCGCCAGGCCACCGCCGAGGAGGTCGGTCGGGAGGTGCACGCGGCCCGTGACCGGCTCTCGGCCGGCGGCGGGGTGATCGTGCAGGCGGTCTGGTTCGACGCCGGGGCCGGGCTGCCCGGGGCGCTGGCCCTGGTCGTCAACCACGTGGTCGTGGACGGGATCTCCTGGCGGGTGCTGACCGGCGACCTCGCCCGGGCCGGGGAGGCTGTCGCCGCCGGGCGGGCCCCCGCCGGCGCCCTCGAACCGGTGGCCACCTCGTTCCGCCGCTGGTCCGAGCTGCTCACCGCGGAGGCGGCCGGGGAGCGGACCGCTGCCGAAGCCGCGTACTGGCGCGGTGTGGTGCGGCCGGGTGCGGGCATCGCGGGCCGCCGCCCGCTGGACCCGGCCCGCGACCACGAGGACCGCGCCGGGCACCTCGCCCTGAGCCTGCCCGCGGCGACGGCCGGGCCGCTGCTGACGTCGGTGGCCGACCGGCTGGGCGCAGACGCCAACGAGGTGCTGCTGGCCGGGCTCTCCCTGGCCCTGGCCCGGTGGCGGCCCTGCGGCCCGGAGGCCCTGGTGGAGCTGGAGGGCCACGGCCGGGAGGACATCGGCGCCGAAGCGGACCTCTCCCGCACGGTCGGCTGGTTCACCACCCTCTTCCCCACCCGTTTCGCCCTGGACGGCCTGGGTGCGGCGGACGCCGAGGACGGCGGACCCACCGCCGGAGAGGCGCTGCGGCGGGTCCGGGAGCAGCTGCGGGCGATCCCGCGCAAGGGCATCGGGTACGGCCTGCTGCGCCACCTCGACCCGGTCGTCGGCAAGGAGCTCGCCGCGGCGGAGCCCGCGGGCATCGGTTTCAACTACCTCGGCCGGCTGGGCGGTCCGGCCGACGCCGACTGGCAGCTGCTGCCCGCCCACGGGGCCCGGCTCGACGCCCCGGGCCCGGGCATGCCGATGGCGCACGCCGTCGAGGTGAACGCCTTCGTCCTGGAGTCGGCGGACGGGCCCGTCCTGCACGCCGACTGGGCCTGGGCCGAGGGCGTCCACGACGAGGCGGAGGTCCGGGCGCTGGCCGACGGCTGGTTCCGGATGCTCGGCGCCCTCGTCGTCCACGCCGACCGCACCGGTCCCGCGGCCGCGTCCACGGTCCCGCCCGCCGCCGGCCTGACGCTCGGCGCGATCGGCCAGGACGAACTGGACGACCTCGCGGCCTCGCTCGGCCTCCTCTGA</t>
  </si>
  <si>
    <t>MRGIDVTEAEQILCGVLADLFGIREVGPQDGFVRLGGDSIIAVQVVGAARRAGLRITVRDVLTLPDVAALADAARPLARSARSGDDDGVGPVRPTPVMHWLDERGGPADRYYQYLVVRTPAGLTGQGASEVLQAILDRHDMLRVIRDGSGWRTRPAGSVPAAPCLRRVSTEGRQATAEEVGREVHAARDRLSAGGGVIVQAVWFDAGAGLPGALALVVNHVVVDGISWRVLTGDLARAGEAVAAGRAPAGALEPVATSFRRWSELLTAEAAGERTAAEAAYWRGVVRPGAGIAGRRPLDPARDHEDRAGHLALSLPAATAGPLLTSVADRLGADANEVLLAGLSLALARWRPCGPEALVELEGHGREDIGAEADLSRTVGWFTTLFPTRFALDGLGAADAEDGGPTAGEALRRVREQLRAIPRKGIGYGLLRHLDPVVGKELAAAEPAGIGFNYLGRLGGPADADWQLLPAHGARLDAPGPGMPMAHAVEVNAFVLESADGPVLHADWAWAEGVHDEAEVRALADGWFRMLGALVVHADRTGPAAASTVPPAAGLTLGAIGQDELDDLAASLGLL</t>
  </si>
  <si>
    <t>P1_1_00961</t>
  </si>
  <si>
    <t>566461.SSFG_07877</t>
  </si>
  <si>
    <t>48.837</t>
  </si>
  <si>
    <t>3.17e-09</t>
  </si>
  <si>
    <t>70.9</t>
  </si>
  <si>
    <t>ATGAACACCAGCCGGCCGGCCATCGAGGACGTCCTGCCCCTCTCCCCGCTGCAGGAGGGCATGCTCTTCCACTCCGGGTACGACGAGGACTCCAAGCACCTCTACATCGCCCAGTTCACCGTCGACCTGGACGGAATGCTCGACGCGGGACGGCTGCGCCGGGCCGCCGGGGAGCTGCTGCGCCGCCACGCCAACCTGCGGGTGGTCCTCACCCACCGCAAGAACGGCGATCCCGTCCAGGTGGTGCGCCGGGACATGGAGCCGGCCTGGCGGGAGCACGACCTCGGCGATCTGCCCGCCGGTGCGGCCGAGGTGCGGACCGCGGAACTGACGGAGGAGGACTGGGCACAGGGCGTCGACAGCCGCCGGCCGCCGCTGCTGCGGTTCACGCTGCTGCGGCTGTCGGACGACCGACACCGGCTCCTGGTGACCGCCCACCACATCCTGCTGGACGGCTGGTCGTTCGGGCTGCTCTTCCGCGAGCTGTTCACCCTGTACACGGGTGGCCGGCTTGAGCCGGTGCGGCCCTACCGGGACCACCTGGCGCACCTCGCGGGCTGCGACCGGCCCGCCGCCGAGGAGGCCTGGCGCACCGCCCTGGCCGGTCTCGACGCACCCGGCCGGATCGCGGAGGGCGCCGGCCGGGTCTCCCCCGGCGCCACCCCCGAGGACGTGGTGGTGCGGTTGGACGAGGAGCGGACGGCGGCACTGACCGCGCGGGCCCGCGCGTGCGGGCTGCTGCTGACCAGCGTGGTCCAGGGGGCCTGGGCGACGCTCATGGCCCGCGCCACCGGGCAGGACGACGTGGTCTTCGGACTCACGGTCAGCGGCCGCCCCGCCGAACTGCCGGGTGCGGAGCGGATGATCGGCATGCTGATCAACACCGTGCCCGTGCGGGCCCGGATCGACGCGGCCGCCCCGCTGCGCCGGGTCTGCGCGGAGCTCCAGCGCCAGCGGGCCGAGCTGGCGAGCCACGACCACCTGGGGCTGACGGAGATCCAGAAGCTGGCCGGTTCCCCGTCCGCGCTCTTCGACACGAACCTGGTCTTCGAGAACTTCCCGATGAGCGACTACGCACTGGACCTGCCCGGCTTCGGCCTGGAGGCACGGATCCGGTTCCGGGACACCACGCACTTCCCGCTCACCCTGGTGGTCGAGCCGGGCGCGGCGCTCGGGCTGCGGCTGAGCCACCACCCCGGGCTCGTCGGCACCGAGCGGGTGCGGGAGCTGGGCGAGCGGCTGGTGCGGCTGCTGGAGCGGTGGACGGCCGACCCGGACGCGCCGGTGGCGGTCCTGGACGCGCTGACAGCGGCCGAGCGCCACCGGGTCCTGGCCGAGTGGAACGACACCGCGGCCGCCCTCCCGGAGTCGACGCTGGCCGCGCTGCTCGCGGAGCAGGCCGCCCGGACCCCGGACGCCACCGCCGTCGTCTTCGAGGGCGAGTCCCTGACCTACCGGGCGTTGGACGAGCGGGCGGGCCGCCTCGCGGACGTGCTCGCGTCCCTCGGGATCGGACCGGAGAGCCTGGTCGCGGTCGCCGTGCCGCGCTCCCTCGACCTGATGGTCGCCCTGTGCGGGGTGCTGAAGGCGGGCGCCGCCTACCTGCCCGTCGACCCGGGCCAGCCCGAGGAGCGCAACCTCCAGATCATGGCCGACGCCGCCCCGGCGCTGGTGCTGAGCACCGGATGGGAGGCGCCGGGAACGCCCACGCTGCGGCTGGACGCCCCACTCCCCGCGGCGGACCGCGCACCGCGGCCGGTGGTCCTGCCCGACCACCCGGCGTACGCGATCTTCACCTCCGGTTCCACCGGCCGCCCCAAGGGCGCGCTGGTCCCGCACCGGGCCATCGTCAACCGGCTGGCGTGGATGCAGCGGGAGTACGGGCTGGGGGCCGGGGACCGGGTGCTGCAGAAGACGCCGAGCGGTTTCGACGTCTCGGTGTGGGAGTTCTTCTGGCCGCTGCTGACCGGGGCGACGCTCGTGGTCGCGAAGCCCGGCGGCCACCAGGACCCCGCCTACCTGGCCGACCTGATCGCCCGGGAGTCCGTCACCACCGCGCACTTCGTGCCGTCCATGCTCGACGTGTTCCTGCGGGAGCCCGCCGCGGCGGGTGCCCGCTCGCTGCGCCGGGTGATCGCCAGTGGCGAGGCACTGCCCCCGCACACCCAGGACGCCTTCTTCCGGGTCCTGCCCGGCGCGGAACTGCACAACCTGTACGGCCCGACCGAGGCCGCGGTCGACGTCACGCTCTGGCCCTGCCGGGCCGGGGACGCCACCGTCCCGATCGGACGGCCCGCCGCCAACACCCGTACCTACGTCTTGGACGGCCGGCTCGCCCCGGTGGCGCCCGGCACCGCCGGCGAGCTGTACCTGGCCGGTGTGCAGCTGGCCCGCGGCTACCTGGGCCGGCCCGGGCTCACCGCCGACCGGTTCGTGGCCTGCCCCTTCGAGCCGGGGGACCGCATGTACCGCACGGGCGACCTGGTGCGCTGGCGGGCCGACGGCGTCCTGGAGTACCTGGGCCGCACCGACGACCAGGTCAAGATCCGCGGCTTCCGCATCGAACCGGGCGAGGTCCGCAACGCCGCCGCGGGCTGCACCGGCGTCTCGCACGCGGCGGTCGTCGTCCGCGAGGATCGCCCGGGCGATCCCCGGCTCGTGGCGTACGTGGTGCCCCGCCCGGGCACCGCGCCGACCCCCGCCGGGGTGCGCGGCGAGCTCGCCGCCGCGCTGCCCGAGCACATGGTCCCGGCCGTGGTCGTGCTGGACGAGCTGCCGGTGACGCCGAACGGCAAGCTCGACCGGCGGGCCCTGCCGGCCCCCGCCCTGCGCACCGGCGGCCGCGGCGGCCGCACCGAGCGGGAGCGCATCCTGACGGGTCTGTTCGCGTCGGTGCTGGGCCTGCCCGAGGTGGGCGCCGACGACGACTTCTTCGAGCTGGGCGGCCATTCCCTGCTGGCGATGCGGCTGGTGGCGCAGGTGCGCGGGGCGTTCGGCGCAGAATTGGGCATCCGTGAGGTGTTCACCGCCCGCACGCCGGCCGCACTCGCCGCGCTGGTCGACGGCGCGGACCGGGCCCGTCCCGCGTTGCGGCCGCAGGCGCGCCCGGAGCGGCTGCCGCTCTCCCCGGCGCAGCGCCGGGTGTGGTTCCTGGACCGGCTCGAAGGGTCGAACCCGGCCTACCACAGCGCGGTCGCCCTCCGGCTCGACGGTCGGCTGGACGTGGCGGCGCTGCGCGGGGCGCTGGCCGACCTGGCCGAGCGGCACGAGATCCTGCGCACCATCCACCCGGACGTCGACGGCGAGCCCCGCCAGGTCGTCCTGCCCCCGGCCCCACCGGCCCTGGAGGTCCTCGACGCGAGCGGCGGCGCCGGGACGGCCGCCCTGGTCGCCGAGGTCGCGGGCCGCCCCTTCGACCTGGCGGCGCAGGCCCCGCTGCGGGCCGCGCTGCTGGCCTGCGGGCCGCGGGAGCACACCCTGGTGCTGGCCCTGCACCACATCGCCACCGACGGCGAGTCCTGGGGGCCGCTGCTGGACGACCTGGCGCACGCCTACGCGGCCCGTACCGGCGCGGGTTCGGGCCGGCGGGCCCCGCTGGCCGTGCAGTACGCGGACTACACCCTGTGGCAGCGCGCCCTGCTGGACGACGTAGCCGAGGAGCAGCTGGCCCACTGGCGCACCGTGCTGGCCGGGCTGCCCGAGGAGCCCGCGCTGCCCACCGACCGTCCCCGGCCCGCGGTCGCCGACCCGGCGGGCGCCGCCTTCGGCTTCGATCTGGACGCGGCGCTGACCGCGCAGCTGGCGGCGCTGGCCCGGGCGCACGGGTGCACCGTCTTCATGGTGCTCCAGTCGGCTCTGGCGGTGGTGCTGTCCCGGCTCGGGGCGGGCACCGACGTGCCGATCGGGACGGTCGTCGCGGGCCGCACCGACGAGGCCCTGGACGAGCTGGTCGGCTTCTTCGTCAACACCCTGGTCCTGCGCACCGATGTCTCCGGCGATCCGACCTTCGCCGAACTCCTGGAGCGGGTCCGGGACACCGACCTGGCCGCCTTCGCCCATCAGGACGTCCCCTTCGAGCAGGTCGTCGAGGCCGTCAACCCGCGCCGCTCCCTCTCCCACCACCCGCTGTTCCAGGTGGCGCTGGCGATGCGCCCGGCGACCGGCACGGCCGCTCTCGACCTCCCCGGGCTGACCGCGGAAGCCGAGGAGGTCGACGTACCGGAGGCCGAGTTCGAGCTGGCGCTGCAGTTCACCGAGGCGGGCTCGCCGGGCGAGGGCCTGCGCGCCGTCGCCAAATACCGTACGGGCCTGTTCGACGAGGCCACCGTCCGCGCCCTCGTGGAGCGGCTGCGGGCGGTCCTGCAGGCGGCGGTGCGGGCGCCGCGCGGTCCGATCTCGGCACTGGAGGTCCTGCTGGAGCAGGAGCGCGGGCAGCTGCTCGGCGGCTGGCTGCCGGAGGGGCCGCAGCGGGCCGCGGCGGGCTCCGTGCACGAGGAGTTCTCCCGCCGGGCCCGCCTGCACCCGGACGCGGTGGCCCTCTTCTCGGGCCCGGACGAGATCACGTACGGGGAGCTGGACCGGCGGGCGGACCGGCTGGCCCGGCGGCTGGCCGGGTACGGGGTCGGCACCGAGACCCCGGTCGGCGTGCTGATGGCCCGCTCCCCCGAGGTCGTCGTCGCGATGCTGGCCGTCCTGAAGGCGGGCGGGGCGTACGTGCCGCTGCACACCGGGTACCCGGCCGCGCGCATGCAGAGGATCCTGTCCGATGCGGGCTGCTCCGTCCTGCTGGTCGACGAGGCCTTCGCCCCGCTCGGCCTGGAGTGCGCCCGCACGGTCCTGGTCACGGCGGCGGACACCGCCGGGGCGGACGCGCGGGACGCGGAGTTCACGGCCGCGTCGTGCCCGCCCGGGCAGCTCGCCTACCTGATGCACACCTCGGGCTCGACCGGCGAGCCCAAGGGCGTCGCCGTCACCCACCGGGACGTCCTGGCCCTGGTGGCCGACCGGGGCTGGCACACCCGGGGCGCCGAGCGCGTCCTGTTCCACGCGCCGCACGCGTTCGACATCGCCGACTACGAGCTGTGGGTGGCGCTGCTGTCGGGTTGGCAGGTCGTCGTCGCCCCCGAGGGCGAGCCCACGGCCGCCGCGCTGGGCGCCCTGATCCGCGGGGCGGGCATCACCGCCGTGCACCTGACGGCCGGTCTGTTCCGTGTGGTCGCCGAGGAGGACCCGGGCCTGCTGGCCGGCGTCCGCGAGGTGCTGACCGGCGGCGACGTCGTCAGCCCCGCCGCGGTCCGGGCCGTGCTGGCCGCCTGCCCGGACACCGTGGTCCGCCACCTGTACGGGCCCACCGAGGCGACCCTGTGCGCGACCAGCCACCTGATCGCCGGCGCCTCGGACGCCGACGGCCCGGTGCCGATCGGCCGCCCCCTGGACGGGACCCGTGCGTACGTGCTGGACGAGCGGCTGCGGCTGGTGCCGCCGGGCACCCCGGGCGAGCTGTACCTGGCCGGTGCCGGAGTCGCGCGCGGCTACCAGCGGCGGCCCGCGGCCACCGCCGAGCGGTTCGTCGCCGATCCGTTCGGCGCGCCCGCCACCCGCATGTACCGCACCGGCGACCGCGCCCGGTGGCGGGCCGACGGGCTGCTGGAGTTCCTCGGCCGGTCCGACGAGCAGGTGAAGGTCCGCGGCTTCCGCGTGGAGCCCGGTGAGGTCGAGGCCGCGCTGGCCGCATCCCCGGGGGTCCGCCAGGCCGTGGTCGCCGTACGGGCCGCCGCGGACGGTGAGAAGCGGCTGGCCGGTTACGTGGTCGGGGAGGTGTCCGGGCCCGCGGTGCGACGCCGGCTGGAGCGGCTGCTGCCGGACTACATGCTGCCCTCGTACGTCCTGGTCCTGGACGCGCTGCCGCTGACCCCCAACGGCAAGGTGGACTACCGGGCCCTGCCCGAGCCCGCGCTGCCCGCTTCCGGCGGACGTGCCCCCCGTACCCCCCGGGAGGAGATCCTGGCCGGGCTCTTCGCCGAGGTGCTCGGCCTCGACGCGGTCGCCGCCGACGCCGGCTTCTTCGACCTGGGCGGCCACTCGCTGCTGGCGACCCGGCTGGTCAGCCGGATCCGTACGGCCCTCGGGGTCGAGCTGGCGCTGCGCGACGTCTTCCGCGCGCAGACCGTGGCCGCCCTCGCGGAGCTGGCCGGGAGCGCCGACCGGGCGCGGCCGCCGCTGCGCCGTGCGGAGCCGGGGCAGGGCGCGCCGCTGTCCCCGGCGCAGCACCGCCTGTGGTTCGCGCATCAGGCAGAGGGCCCGTCCGGCCACCACAACGTGCCCTTCGCCTACCGGTTGAGCGGTCCGCTGGACGCGCCGGCGCTGCGTGCGGCGCTGGGCGACGTGGTGGCCCGGCACGAGGTGCTGCGGACCGTCTTCGACGAGTGCGGGGGCGAGCCGGTGGTCCGGCTGCTGGAGGGCGCGGCCGCCGAGGTGCCGCTGGAGGTCCTCGCGGTCACGGAGGCCGGTGCCGTCGCGGACGCGGTCCGGGAGGTGACGGGGCACCGCTTCGACATCGCGGTCGAACTCCCTCTGCGGGCCCGGTTGCTGGAGCTGGGGCGACAGGAGTGGGTGCTCGTGCTCGTGGTGCACCACATCGCCACCGACGGCTGGTCCTGGGGGCCGCTGCTGACCGACCTGGCCACCGCCTACGCCGCCCGGTGCGCGGGCGCGGCGCCCGCCTTCGAGCCGCTGCCCGTGCAGTACCGGGACCACACCGTCTGGCAGCGGTCCGTGCTCGGCACGCCGGGCGCCCCGGACGCGCTGATCACCCGCCAGCTCGAATTCTGGGTCGAGGAACTGGCCGGCACCCCGGCCGAGCTCGCCCTGCCCTACGACCGGCCCCGCCCGGACGTGGCGAGCTTCGCGGGCGGCTCGGTCCCCCTGGAGCTGGACGCGCAGCTGCACGGACGACTGCTCGAACTGGCCCGGCAGCACGGCTGCACCCTCTTCATGGTCCTCCAAGCCGGCCTGTCCGTCCTCCTGTCCCGCCTCGGAGCCGGCACCGACATTCCCATCGGAACCGTCGTCGCCGGCCGCACGGACGAAGCACTCGACGACCTCGTCGGCTTCTTCGTCAACACCCTCGTCCTGCGCACCGACCTCTCCGGCGACCCGACCTTCACCGACCTCCTGGAGCGGGTGCGGGAGACCGACCTCGCCGCCTACGCCCACCAGGAGGTGCCCTTCGAGCAGGTCGTCCTGGGGGTGAACCCGGAGCGGTCCCTCGCCCGGCACCCGCTCTTCCAGGTGCTGCTCCAGGTCCAGAACGAGCCGCCCGCCCTGCCCCGCCTGACGGGCCTCACGGCCCGGCCGCACCCTGTCGAGTGGGCGGTGTCCAAGTTCGACCTCGGCGTGGACCTCGGGGAGCGGCGCGCCGCCGACGGCACCCCGCTGGGCCTCACCGGCGAACTGACCTACGCCAGCGAGCTGTTCGACCGAACGAGCGTGGAACGGCTGGCGGCGGACCTGGCCCTGGTGCTGCGCGGTCTCGCGGCCGCCCCGGACCGGGCGGTCGGATCGGTCGACGGCCCGGCTCCGCACACGGCCGCCCCCGCCGCGCCCGAGCCGGCCGAGGACCCGGGCGGCAGCACCGAGGACCGTGTCCGCGCCCTGTACGCCGAGGTCCTGGGCCGGAACGAGGTCGGCCCGGACGACAACTTCTTCGCCCTGGGCGGCCACTCCCTCCTCGTCACCCGGCTGATCAGCCGGATCCGGGCCGATCTCGGCCGGGAGCTGAAGATCCGCCAGCTCTTCCAGCACCCGACCCCGGCCCGCACCGCCGCCCTGCTCACCGACGCGCCGAAGGCCCGTCCCACGCTCCGGCGCGCCGCCGATGCCTGA</t>
  </si>
  <si>
    <t>MNTSRPAIEDVLPLSPLQEGMLFHSGYDEDSKHLYIAQFTVDLDGMLDAGRLRRAAGELLRRHANLRVVLTHRKNGDPVQVVRRDMEPAWREHDLGDLPAGAAEVRTAELTEEDWAQGVDSRRPPLLRFTLLRLSDDRHRLLVTAHHILLDGWSFGLLFRELFTLYTGGRLEPVRPYRDHLAHLAGCDRPAAEEAWRTALAGLDAPGRIAEGAGRVSPGATPEDVVVRLDEERTAALTARARACGLLLTSVVQGAWATLMARATGQDDVVFGLTVSGRPAELPGAERMIGMLINTVPVRARIDAAAPLRRVCAELQRQRAELASHDHLGLTEIQKLAGSPSALFDTNLVFENFPMSDYALDLPGFGLEARIRFRDTTHFPLTLVVEPGAALGLRLSHHPGLVGTERVRELGERLVRLLERWTADPDAPVAVLDALTAAERHRVLAEWNDTAAALPESTLAALLAEQAARTPDATAVVFEGESLTYRALDERAGRLADVLASLGIGPESLVAVAVPRSLDLMVALCGVLKAGAAYLPVDPGQPEERNLQIMADAAPALVLSTGWEAPGTPTLRLDAPLPAADRAPRPVVLPDHPAYAIFTSGSTGRPKGALVPHRAIVNRLAWMQREYGLGAGDRVLQKTPSGFDVSVWEFFWPLLTGATLVVAKPGGHQDPAYLADLIARESVTTAHFVPSMLDVFLREPAAAGARSLRRVIASGEALPPHTQDAFFRVLPGAELHNLYGPTEAAVDVTLWPCRAGDATVPIGRPAANTRTYVLDGRLAPVAPGTAGELYLAGVQLARGYLGRPGLTADRFVACPFEPGDRMYRTGDLVRWRADGVLEYLGRTDDQVKIRGFRIEPGEVRNAAAGCTGVSHAAVVVREDRPGDPRLVAYVVPRPGTAPTPAGVRGELAAALPEHMVPAVVVLDELPVTPNGKLDRRALPAPALRTGGRGGRTERERILTGLFASVLGLPEVGADDDFFELGGHSLLAMRLVAQVRGAFGAELGIREVFTARTPAALAALVDGADRARPALRPQARPERLPLSPAQRRVWFLDRLEGSNPAYHSAVALRLDGRLDVAALRGALADLAERHEILRTIHPDVDGEPRQVVLPPAPPALEVLDASGGAGTAALVAEVAGRPFDLAAQAPLRAALLACGPREHTLVLALHHIATDGESWGPLLDDLAHAYAARTGAGSGRRAPLAVQYADYTLWQRALLDDVAEEQLAHWRTVLAGLPEEPALPTDRPRPAVADPAGAAFGFDLDAALTAQLAALARAHGCTVFMVLQSALAVVLSRLGAGTDVPIGTVVAGRTDEALDELVGFFVNTLVLRTDVSGDPTFAELLERVRDTDLAAFAHQDVPFEQVVEAVNPRRSLSHHPLFQVALAMRPATGTAALDLPGLTAEAEEVDVPEAEFELALQFTEAGSPGEGLRAVAKYRTGLFDEATVRALVERLRAVLQAAVRAPRGPISALEVLLEQERGQLLGGWLPEGPQRAAAGSVHEEFSRRARLHPDAVALFSGPDEITYGELDRRADRLARRLAGYGVGTETPVGVLMARSPEVVVAMLAVLKAGGAYVPLHTGYPAARMQRILSDAGCSVLLVDEAFAPLGLECARTVLVTAADTAGADARDAEFTAASCPPGQLAYLMHTSGSTGEPKGVAVTHRDVLALVADRGWHTRGAERVLFHAPHAFDIADYELWVALLSGWQVVVAPEGEPTAAALGALIRGAGITAVHLTAGLFRVVAEEDPGLLAGVREVLTGGDVVSPAAVRAVLAACPDTVVRHLYGPTEATLCATSHLIAGASDADGPVPIGRPLDGTRAYVLDERLRLVPPGTPGELYLAGAGVARGYQRRPAATAERFVADPFGAPATRMYRTGDRARWRADGLLEFLGRSDEQVKVRGFRVEPGEVEAALAASPGVRQAVVAVRAAADGEKRLAGYVVGEVSGPAVRRRLERLLPDYMLPSYVLVLDALPLTPNGKVDYRALPEPALPASGGRAPRTPREEILAGLFAEVLGLDAVAADAGFFDLGGHSLLATRLVSRIRTALGVELALRDVFRAQTVAALAELAGSADRARPPLRRAEPGQGAPLSPAQHRLWFAHQAEGPSGHHNVPFAYRLSGPLDAPALRAALGDVVARHEVLRTVFDECGGEPVVRLLEGAAAEVPLEVLAVTEAGAVADAVREVTGHRFDIAVELPLRARLLELGRQEWVLVLVVHHIATDGWSWGPLLTDLATAYAARCAGAAPAFEPLPVQYRDHTVWQRSVLGTPGAPDALITRQLEFWVEELAGTPAELALPYDRPRPDVASFAGGSVPLELDAQLHGRLLELARQHGCTLFMVLQAGLSVLLSRLGAGTDIPIGTVVAGRTDEALDDLVGFFVNTLVLRTDLSGDPTFTDLLERVRETDLAAYAHQEVPFEQVVLGVNPERSLARHPLFQVLLQVQNEPPALPRLTGLTARPHPVEWAVSKFDLGVDLGERRAADGTPLGLTGELTYASELFDRTSVERLAADLALVLRGLAAAPDRAVGSVDGPAPHTAAPAAPEPAEDPGGSTEDRVRALYAEVLGRNEVGPDDNFFALGGHSLLVTRLISRIRADLGRELKIRQLFQHPTPARTAALLTDAPKARPTLRRAADA</t>
  </si>
  <si>
    <t>P1_1_00962</t>
  </si>
  <si>
    <t>405948.SeryN2_010100026201</t>
  </si>
  <si>
    <t>48.571</t>
  </si>
  <si>
    <t>0.0</t>
  </si>
  <si>
    <t>816</t>
  </si>
  <si>
    <t>GTGTTCCCCGTATCGTCCGCCCAGCGGCGGCTGTGGTTCCTCAGCCGGCTCGGCGAGACCGGCGCCGCCTACAACTGCCCGCTCACCACCCGACTGCGCGGTCCCCTGGACCCGCAGGCGCTGACCGCGGCCCTCGGCGATCTGACCGGGCGCCACGAGGTGCTGCGGACGGTCTTCCCCGAGGTGGACGGCGAGCCCGTGCAACACATCACCGACGCGGCGCCGGAGCTGCCCCTGGTCCGCCTCGGCGAGCCCGAGCTCGCCGACGCGCTGGCCGCCGAGGCCGGGCACGTCTTCGACATCACCACCGAACTCCCACTGCGAGCACGCCTGTTCGCCCTGGACGACGAGGAGTGGGTGCTAGCGCTGGTGATCCACCACATCGCCACGGACGGCTGGTCCTGGGGGCCGCTGCTGACCGACCTGGCCACCGCCTACGCCGCCCGGTGCGCAGGCGCGGCGCCCGCCTTCGAGCCGCTGCCCGTGCAGTACCGGGACTACACGCTGTGGCAGCGCGAGCTGCTGGGCGCCGAGGACGACCCGGAGAGCCTGCTCGCCGCGCAACTCGCCTTCTGGACGCGGGAACTGGCCGGCACCCCGGCCGAACTGGCGCTGCCCGCCGACCGGCCGCGCCCGCAGGTGGCGAGCTTCGCCGGCGGCTCGGTCCCCCTGGAGCTGGACGCGCAGCTGCACGGACGACTGCTCGAACTGGCCCGGCAGCACGGCTGCACCCTCTTCATGGTCCTCCAAGCCGGCCTGTCCGTCCTCCTGTCCCGCCTCGGAGCCGGCACCGACATCCCCATCGGAACCGTCGTCGCCGGCCGCACGGACGAAGCACTCGACGACCTCGTCGGCTTCTTCGTCAACACCCTCGTCCTGCGCACCGACCTCTCCGGCGACCCGACCTTCACCGACCTCCTGGAGCGGGTGCGGGAAAGCGACCTCGCCGCCTTCGAGCACCAGGAGGTGCCCTTCGAGCAGGTCGTCGAGGCGGTCAACCCCGAACGGTCCCTCGGCCGCCACCCTCTCTTCCAGGTGATGATGACCCTGGACAGCGGCGCGGGGCCCGTCTTCACCCTGCCCGGCCTGGAGTCCGCGGAGCAGCCCGCCGCCTGGGACGTCGCCAAGTTCGACCTCACCGCCGACTTCCAGGAGCAGTGGGACGCGGGCGGCGCCCCGGCCGGGATCGGCGGATCCCTGGAATATGCGACGGACCTGTTCGACCGGGCCACGGCCGAGGACCTCGCGGCCGCCCTCGCCCGGGTGCTGGAGCGCCTCGCCGCCGACCCCGCCGCGCCCGTCGGGCGGACCGACCCGCTCTCCGTCGAGCAGCGCGCGCTGGTCCTCTCCGGCTGGAACGACACGGCCGCGCCGGTGCCTGCGGGGACCCTGCCCGAGCTGTTCGAGGAGCGGGCCGCCCGCACCCCCGGTGCGACCGCCCTGGTCTTCCGGGACACCGCGCTGACCTTCGCCGAGCTCGACGGCCGCGCCGACGCGCTGGCGCACCGGCTCGCCGGGCACGGGGTCGGCCCGGAACACCTGGTGGCCCTGGCCCTGCCCCGGTCCGCCGACTCCGTCGTGGCGCTGCTCGCCGTACTCAAGGCGGGCGCCGCCTTCGTCCCCGTCGACACCGACTACCCGGCCGAGCGGATCGCGCACCTGCTGTCCACCACGACCACCGTCGTCACCGACGCCGCGACCGCCCCGGGGCTCCCGGACACCGGCGGCGTCCGCATCCTCGTCGACGCGCCGGGCGCGGCCCCGGCGGGCTCCGCCGGCCCCGTCCCGGGCCGCCGGCTGCTGCCCGGCAGCGCCGCTTACGTGATCCACACCTCGGGGTCGACCGGCGAGCCCAAGGGCGTCGTCATCGACCATGCGGGGCTGCGCAACCTGTACGCCTTCCACCGGGCCGGGGTCATCGCCCGCGCGGAGGAGCTGCACGACGGCCGCCGGATGCGGATGGCGCTGACGGCCGCGCTCTCCTTCGACACGTCGTGGGAGGGGCTGCTGTGGATGGTGGCCGGCCACGAGCTCCATCTCGTGGACGACGACACCCGCCGCGACGCGGCCGCGCTGGTCCGGCACATCGCCCGCGCCGGCATCGATGCCCTCGACGTCACCCCGACCTACGCCGAACAGCTCGTCGAGGAGGGCCTGCTGGACGATCCCGTACACCGGCCCAAGGTGCTGCTGCTCGGCGGCGAGGCGGCGGGCGCGGCCCTGTGGACGCGGGTCCGGGCCGCCGACGGGATGCTCTGCCACAACCTGTACGGGCCCACCGAGTGCAGCGTCGACACCCTGTGGTGGGACGCCGCCGCCAGCGAGGAGCCGCTGGTGGGCCGCCCGCTCGCCAACACCCGGGCGTACGTGCTGGATGCCGGGCTGCAGCCGGTCGCCCCGGGCGTCCCGGGCGAGCTGTACCTGGCCGGGCCGAGCCTGGCCCGCGGCTACCTGAACCGGCCGGCGCTCACCGCGGGCCGCTTCGTGGCCTGCCCGTTCGAGGACGGCGCTCGCATGTACCGCACCGGCGACCTCGTCCGCTGGGACCGCGAGGGCCGCATCGAGTACCTCGGCCGCGCCGACGACCAGGTCAAGATCCGCGGCTTCCGCATCGAACCCGGCGAGATCGAGGCCTGCCTGCGGGCCTTCCCGGACGTGGCACAGGCCGCGGTGCTCGCCCGTGACGGCGGCCCCGCCGGGAAGCGCCTGGTGGCGTACGTGGTGGCGGCCGCGGGGCGCAGCGCCGACCCGGCCGCGCTGCGCGGGCGGCTCGCCGCGCAGCTGCCGGACCACATGGTGCCCTCGGCCTTCGTGGTCCTGGACGCCTTCCCGATGAACCGGAACGGCAAGCTGGACCGGGCGGCGCTGCCCGCACCGGACTTCGGCGCGCTGCTGTCCTCCTGCGCCCCGCGCGGGCCCCGCGAGGAGCTCCTGGCGGAGCTGTTCGCGCAGGTGCTGGGGCTGCCGTCGGTGGGCGCCGAGGACAGCTTCTTCGAGCTGGGCGGCCATTCGCTGCTCGCGACCCGGCTGCTCTCCCGGATCCGGGCCGTCCTCGGCGGCGACCTGGGCATCCGCCAGCTGTTCCAGCACCCGACGGTGGCCGGGCTGGCCGCCTGCCTGGCGCAGGGCTCCGCGGCCGGGGCGGCCCCCCGGCCGGCCCTGACCGCGGTGGCGGAGCGGCCCGAGGCCCCGCCGCTGTCGGCCGCCCAGCGCCGGCTGTGGTTCCTGAGCCGGGCGGGCCAGTCCGCCGGCTACCACTGCCCGTTCGCGCTGCGGCTGCGCGGCCCACTGGACACCGCGGCGCTGGCCGCGGCCCTGGGAGACGTCACCGACCGGCACGAAGCCCTGCGCACGGTGTTCCCGGAGGCGACGGGCGAGCCGTACCAGCGCGTGCTGCCGGCAGGGGGCGGCGTTCCGCTGGAGCTGGTGGAGTGCGGTCCGCAGGGCACCGCGGCGGCCCTCGACGCGCTGCTGGCGCGCCCGTTCGACCTGGCCGGCCAGCCCCCCGTACGGGCGGCGCTGCTCGCGGCCGGGCCGCAGGAGTGGGTGCTGGCCCTGGTCGTGCACCACATCGCGCTCGACGGGTGGTCCTGGGGGCCGCTGTTCCGGGACCTGTCCGAGGCGTACGCCTCCCGGTGCGCGGGCGCCGCGCCCGCCTTCGCCCCGCTGCCGGTGCAGTACGCCGACTACACGCTGTGGCAGCGGGAGCTGCTCGGCTCGGAGGACGACCCGGCGAGCCCGGTCTCACGCCAACTCGCCTTCTGGACCGACGCGCTGGCCGGTGCGCCCGCCGAGCTGTCCCTGCCCTACGACCGGCCGCGCCGGGCGGCGGCGGACTTCGCGGGCGGCTCCGCCCCCGTCGTCCTGGACGCCGAGCTGCACGGCCGGCTGCTGGAACTGGCCCGCGAGCACGGCTGCACCCTCTTCATGGTGGTGCAGGCGGCGCTGGCCGTGACCCTGTCCCGGCTCGGCGCGGGGGACGACGTACCGATCGGGACGCCCGTCGCGGGCCGCACGGACGAGGCCCTGGACGACCTCGTCGGCTTCTTCGTCAACACCCTCGTCCTGCGCACAGACGTCTCGGGCGATCCGACCTTCGCCGAACTCCTGGGCCGGGTGAGGGAGATCGACCTCGCGGCGCACGAGCACCAGGACGTGCCCTTCGAGCGGGTCGTGGAGGCGGTCAACCCCGAGCGCTCCCTCGCCCGCCACCCCCTCTTCCAGGTGCTGCTCCAGGTGCAGGCAGGCGAGGACGGCACGCTCGCGCTGCCCGGCCTCGACGTACGCCCCGAGCCCTTCCGCTTCGACGTCGCCCAGTTCGACCTGACGCTGGACGTCCAGGAGCACCGGGACGCCGAGGGCCGCCCCGCCGGGATCTCGGGCTTCCTGGAGTACGCCGCCGAGCTGTTCGACCACGCCACCGCCGAGGACCTCGCCGCGACCCTGGTACGGATGGTCCGGCTGCTCGCAGCGGCGCCGGGGCTGCCGATCGGGGCCGCCGACCCGCTGACCCCCGCGGCCCGCCGGCGGGCGCTGGTGGAGTGGAACGACACCGCGCTGCCGGTTCCGGAGGCCACCGTGCCCGAACTGTTCGCGGCGCGGGCCGCCCTCGCCCCGGACGCGACCGCGCTGGTGCACGGCGCCGAGCGGATCGGCTTCGCCGCCCTCGACGCCTGGTCGGACCGGCTCGCCCATCGCCTGGTGCGGGACGGGGCGGGTCCGGAGCGGCTGGTGGCCATCGCCCTGCCCCGCTCCCCGGCGGCGGTGGCCGCGATGCTGGCCGTCCTCAAGGCCGGTGCGGCCTTCGTCATGGTGGACACCGGATACCCGGCCGGGCGGATCGCGCACATGCTGGCCGACTCCTCCCCGGCGCTGCTGGTCACGGATTCCGCGACCGCACCGCTGCTGCCGTCCGCGGAGTTCCCGCTCGTCCTCACCGACGAGGCGGACGAGGCGGACGAGGTGGACGAGGTGGACACCGCCGCCCTCGCGCCCGGTGCCGGGCAGCTGCGGCCGCCCCGGCCGGGCGACGCCGCCTACGTCGTGTACACCTCGGGGTCCACGGGCCGGCCCAAGGGCGTCGTGGTCGACCACGCCGCGCTGCGCAACCTGTACGCCTTCCACCGCGCCCACACCATGGCCGAGGCGGAACGGACCGCCCTCGGTAGGCGGTTGCGGGTGGCGCTGGTGGCCTCGCTCTCCTTCGACGCCTCCTGGGACGCCCTGTTGTGGATGGTGGCCGGGCACGAACTCCACCTGATCGGCGACGCCGAGCGGCACGATGGCGCCGCCTTCGTCCGGTATGCCGCCGACGCCGCCCTCGACGTCGTCGACACCACCCCCACGCACGCCGAGCACCTGATCGAGGAGGGCCTGCTCGACGCCCCGCCGCGGCTGCTGCTGATCGGCGGGGAGGCCGCGGGCGAGGGGCTGTGGAGCCGGCTGCGCGCCACGGAGGGGATGCTCGCCTACAACCTGTACGGACCCACCGAGTGCACGGTCGACGCCCTGTGGTGGGACACCGCGCACAGCGAACGCCCGCTCATCGGCGGTCCGGTCGCCAACACCCGTGCCTACGTGCTCGACGCGGTGCTGCGGCCGGTGGCGCCGGGGGTGCCCGGCGAGCTGTACCTGGCGGGTGCCGGGCTGGCCCGGGGCTACCTGCGGCGCCCGGGCACGACGGCGGAGCGGTTCGTGGCCTGCCCGTTCGAGGACGGGGCGCGCATGTACCGCACCGGCGACCTCGTCCGCCGGGACGGCGAGGGCCGCATGGAGTACCTCGGCCGCGCCGACGACCAGGTCAAGATCCGCGGCTTCCGCATCGAACCCGGCGAGATCGAGGCCGCGCTCGCGGCGGCGCCCGGGGTGGACCGGGCCGCGGTCACCGTCCGGGAGGACGGACCCGGCGGTGCGAAGCGGCTGGTCGGGTACGTCGTCCCGGCCTCCGGCGGCGACGGCGGTACGGCCTCCGGCGGCGGTACGGCCTCCGCGGTGGACGCGGCGGGCCTGCGCGCCCACCTGGCGGGGATGCTCCCGGCACACATGGTGCCGTCGGCGTTCGTCGTGCTGGACGCCTTCCCACGGACCCCGAACGACAAGCTCGACCGGGCTGCGCTGCCCGCGCCGGATCCCGGCGAAGCCGAGGACGGCCGCGTGGGCCGGGCGCCGCGCGGCCGACGCGAGAAGGTCCTGGCGGGCCTGTTCGCCCAGGTGCTGGGGCTGCCCACGGACTCCGTGGGTGCCGACGCCGGCTTCTTCGACCTGGGCGGTCACTCCCTCCTGGCGGCCCGGCTGATGGCCCGGGTACGCGAGGCGCTGGGCGAGGAGCTCGGGATCCAAGACCTGTTCGCCGCGCCCACGGCCGCGGGGCTCGCCGCCCGCTGCGGCGGCCCGGTGTCGCGTGGGGACGCGGACCCGCTGGCGCCACTGGTCACGCTGCGCACGGGGGCGCCCGGCACGCCCGCGCTGTTCTGCGTCCACCCGGGCGCGGGCACCGGCTGGGTGTACCGGGGGCTGCTGGAGCACCTGGATCCGCAGCGGTCCGTGCACGCCCTGCAGTCGCGGGCGCTCAGCGCGCCGGAGGCGCGGCCCGGGAGCGTCACGGAGATGGCGGCGGAGTACGCGGCGCGGATCCGCGCGGTGCAGCCGCACGGCCCGTACCACCTGCTGGGCTGGTCCTTCGGGGCGGTGGTCGCGCACGCGGTGGCCGTGACGCTCCAGCAGGACGGTCAGGAGGTGGCCGGCCTCACCCTGCTCGATGGGTATCCGGCAGCCCCCGGCGAGCCGGCGGCCCCGGCCGCGGACCCGCTGCGGGACCTGCTGGAATCGCTCGGCTATCCGCCGCGGGAGGAGTGCGGCGCGGCCGAAGGGGTGCCGCTGACCCTCGCCGGGCTGATGGCGGCGGCCGCCGCCGAGGAGGGCCCGCTGTCGGTCTTCGACGGGGAGACCGTCGCCGCCCTCGGTGGGGCCTACGTCCACCACGACCGGCTGGCCGCCGCCCACCGTCCCGGGGTGTTCCGGGGTGGGGTGACGCTGGCCGCCGCCGCCCACGAGCAGGACGCGCCCGGGCCGCGGGTGTGGGAGCCGTACGTCACCGGCCCGGTCGCCCATCACGAAATACCCTGTGCGCACGGCGAGATGATGGCGTCCAAGCCCGCCGCCGAGATCGCCGCGCTGCTGGTCGAGGGCACGGTGGGCCGGTGA</t>
  </si>
  <si>
    <t>MFPVSSAQRRLWFLSRLGETGAAYNCPLTTRLRGPLDPQALTAALGDLTGRHEVLRTVFPEVDGEPVQHITDAAPELPLVRLGEPELADALAAEAGHVFDITTELPLRARLFALDDEEWVLALVIHHIATDGWSWGPLLTDLATAYAARCAGAAPAFEPLPVQYRDYTLWQRELLGAEDDPESLLAAQLAFWTRELAGTPAELALPADRPRPQVASFAGGSVPLELDAQLHGRLLELARQHGCTLFMVLQAGLSVLLSRLGAGTDIPIGTVVAGRTDEALDDLVGFFVNTLVLRTDLSGDPTFTDLLERVRESDLAAFEHQEVPFEQVVEAVNPERSLGRHPLFQVMMTLDSGAGPVFTLPGLESAEQPAAWDVAKFDLTADFQEQWDAGGAPAGIGGSLEYATDLFDRATAEDLAAALARVLERLAADPAAPVGRTDPLSVEQRALVLSGWNDTAAPVPAGTLPELFEERAARTPGATALVFRDTALTFAELDGRADALAHRLAGHGVGPEHLVALALPRSADSVVALLAVLKAGAAFVPVDTDYPAERIAHLLSTTTTVVTDAATAPGLPDTGGVRILVDAPGAAPAGSAGPVPGRRLLPGSAAYVIHTSGSTGEPKGVVIDHAGLRNLYAFHRAGVIARAEELHDGRRMRMALTAALSFDTSWEGLLWMVAGHELHLVDDDTRRDAAALVRHIARAGIDALDVTPTYAEQLVEEGLLDDPVHRPKVLLLGGEAAGAALWTRVRAADGMLCHNLYGPTECSVDTLWWDAAASEEPLVGRPLANTRAYVLDAGLQPVAPGVPGELYLAGPSLARGYLNRPALTAGRFVACPFEDGARMYRTGDLVRWDREGRIEYLGRADDQVKIRGFRIEPGEIEACLRAFPDVAQAAVLARDGGPAGKRLVAYVVAAAGRSADPAALRGRLAAQLPDHMVPSAFVVLDAFPMNRNGKLDRAALPAPDFGALLSSCAPRGPREELLAELFAQVLGLPSVGAEDSFFELGGHSLLATRLLSRIRAVLGGDLGIRQLFQHPTVAGLAACLAQGSAAGAAPRPALTAVAERPEAPPLSAAQRRLWFLSRAGQSAGYHCPFALRLRGPLDTAALAAALGDVTDRHEALRTVFPEATGEPYQRVLPAGGGVPLELVECGPQGTAAALDALLARPFDLAGQPPVRAALLAAGPQEWVLALVVHHIALDGWSWGPLFRDLSEAYASRCAGAAPAFAPLPVQYADYTLWQRELLGSEDDPASPVSRQLAFWTDALAGAPAELSLPYDRPRRAAADFAGGSAPVVLDAELHGRLLELAREHGCTLFMVVQAALAVTLSRLGAGDDVPIGTPVAGRTDEALDDLVGFFVNTLVLRTDVSGDPTFAELLGRVREIDLAAHEHQDVPFERVVEAVNPERSLARHPLFQVLLQVQAGEDGTLALPGLDVRPEPFRFDVAQFDLTLDVQEHRDAEGRPAGISGFLEYAAELFDHATAEDLAATLVRMVRLLAAAPGLPIGAADPLTPAARRRALVEWNDTALPVPEATVPELFAARAALAPDATALVHGAERIGFAALDAWSDRLAHRLVRDGAGPERLVAIALPRSPAAVAAMLAVLKAGAAFVMVDTGYPAGRIAHMLADSSPALLVTDSATAPLLPSAEFPLVLTDEADEADEVDEVDTAALAPGAGQLRPPRPGDAAYVVYTSGSTGRPKGVVVDHAALRNLYAFHRAHTMAEAERTALGRRLRVALVASLSFDASWDALLWMVAGHELHLIGDAERHDGAAFVRYAADAALDVVDTTPTHAEHLIEEGLLDAPPRLLLIGGEAAGEGLWSRLRATEGMLAYNLYGPTECTVDALWWDTAHSERPLIGGPVANTRAYVLDAVLRPVAPGVPGELYLAGAGLARGYLRRPGTTAERFVACPFEDGARMYRTGDLVRRDGEGRMEYLGRADDQVKIRGFRIEPGEIEAALAAAPGVDRAAVTVREDGPGGAKRLVGYVVPASGGDGGTASGGGTASAVDAAGLRAHLAGMLPAHMVPSAFVVLDAFPRTPNDKLDRAALPAPDPGEAEDGRVGRAPRGRREKVLAGLFAQVLGLPTDSVGADAGFFDLGGHSLLAARLMARVREALGEELGIQDLFAAPTAAGLAARCGGPVSRGDADPLAPLVTLRTGAPGTPALFCVHPGAGTGWVYRGLLEHLDPQRSVHALQSRALSAPEARPGSVTEMAAEYAARIRAVQPHGPYHLLGWSFGAVVAHAVAVTLQQDGQEVAGLTLLDGYPAAPGEPAAPAADPLRDLLESLGYPPREECGAAEGVPLTLAGLMAAAAAEEGPLSVFDGETVAALGGAYVHHDRLAAAHRPGVFRGGVTLAAAAHEQDAPGPRVWEPYVTGPVAHHEIPCAHGEMMASKPAAEIAALLVEGTVGR</t>
  </si>
  <si>
    <t>Gene</t>
  </si>
  <si>
    <t>Non-unique Gene name</t>
  </si>
  <si>
    <t>Annotation</t>
  </si>
  <si>
    <t>No. isolates</t>
  </si>
  <si>
    <t>No. sequences</t>
  </si>
  <si>
    <t>Avg sequences per isolate</t>
  </si>
  <si>
    <t>Genome Fragment</t>
  </si>
  <si>
    <t>Order within Fragment</t>
  </si>
  <si>
    <t>Accessory Fragment</t>
  </si>
  <si>
    <t>Accessory Order with Fragment</t>
  </si>
  <si>
    <t>QC</t>
  </si>
  <si>
    <t>Min group size nuc</t>
  </si>
  <si>
    <t>Max group size nuc</t>
  </si>
  <si>
    <t>Avg group size nuc</t>
  </si>
  <si>
    <t>Prokka_on_data_153__gff</t>
  </si>
  <si>
    <t>Prokka_on_data_156__gff</t>
  </si>
  <si>
    <t>Prokka_on_data_157__gff</t>
  </si>
  <si>
    <t>Prokka_on_data_522__gff</t>
  </si>
  <si>
    <t>Locus_Tag</t>
  </si>
  <si>
    <t>Strand</t>
  </si>
  <si>
    <t>Type</t>
  </si>
  <si>
    <t>Product</t>
  </si>
  <si>
    <t>EC_number</t>
  </si>
  <si>
    <t>Eggnog_Db</t>
  </si>
  <si>
    <t>Source_ID</t>
  </si>
  <si>
    <t>Description</t>
  </si>
  <si>
    <t>Eggnog_category</t>
  </si>
  <si>
    <t>Identity</t>
  </si>
  <si>
    <t>e-value</t>
  </si>
  <si>
    <t>bitscore</t>
  </si>
  <si>
    <t>Nucleotide</t>
  </si>
  <si>
    <t>Protein</t>
  </si>
  <si>
    <t>Region 1.13</t>
  </si>
  <si>
    <t>Medium</t>
  </si>
  <si>
    <t>hopene</t>
  </si>
  <si>
    <t>terpene</t>
  </si>
  <si>
    <t>NRPS-like,NRPS,terpene</t>
  </si>
  <si>
    <t>Region</t>
  </si>
  <si>
    <t>From</t>
  </si>
  <si>
    <t>To</t>
  </si>
  <si>
    <t>Similarity Confidence</t>
  </si>
  <si>
    <t>Most similar known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</si>
</sst>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3ACE5"/>
        <bgColor indexed="64"/>
      </patternFill>
    </fill>
    <fill>
      <patternFill patternType="solid">
        <fgColor rgb="FF006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612B-FE67-45C5-B426-C4E3CD9E9F2E}">
  <dimension ref="A1:R5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18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 x14ac:dyDescent="0.2">
      <c r="A2" t="s">
        <v>4</v>
      </c>
      <c r="C2" t="s">
        <v>5</v>
      </c>
      <c r="D2">
        <v>1</v>
      </c>
      <c r="E2">
        <v>1</v>
      </c>
      <c r="F2">
        <v>1</v>
      </c>
      <c r="G2">
        <v>273</v>
      </c>
      <c r="H2">
        <v>5078</v>
      </c>
      <c r="I2">
        <v>648</v>
      </c>
      <c r="J2">
        <v>14</v>
      </c>
      <c r="L2">
        <v>1526</v>
      </c>
      <c r="M2">
        <v>1526</v>
      </c>
      <c r="N2">
        <v>1526</v>
      </c>
      <c r="O2" t="s">
        <v>3</v>
      </c>
    </row>
    <row r="3" spans="1:18" x14ac:dyDescent="0.2">
      <c r="A3" t="s">
        <v>25</v>
      </c>
      <c r="B3" t="s">
        <v>11</v>
      </c>
      <c r="C3" t="s">
        <v>12</v>
      </c>
      <c r="D3">
        <v>1</v>
      </c>
      <c r="E3">
        <v>1</v>
      </c>
      <c r="F3">
        <v>1</v>
      </c>
      <c r="G3">
        <v>273</v>
      </c>
      <c r="H3">
        <v>5079</v>
      </c>
      <c r="I3">
        <v>648</v>
      </c>
      <c r="J3">
        <v>23</v>
      </c>
      <c r="L3">
        <v>1727</v>
      </c>
      <c r="M3">
        <v>1727</v>
      </c>
      <c r="N3">
        <v>1727</v>
      </c>
      <c r="O3" t="s">
        <v>10</v>
      </c>
    </row>
    <row r="4" spans="1:18" x14ac:dyDescent="0.2">
      <c r="A4" t="s">
        <v>16</v>
      </c>
      <c r="C4" t="s">
        <v>17</v>
      </c>
      <c r="D4">
        <v>1</v>
      </c>
      <c r="E4">
        <v>1</v>
      </c>
      <c r="F4">
        <v>1</v>
      </c>
      <c r="G4">
        <v>273</v>
      </c>
      <c r="H4">
        <v>5080</v>
      </c>
      <c r="I4">
        <v>648</v>
      </c>
      <c r="J4">
        <v>22</v>
      </c>
      <c r="L4">
        <v>7883</v>
      </c>
      <c r="M4">
        <v>7883</v>
      </c>
      <c r="N4">
        <v>7883</v>
      </c>
      <c r="O4" t="s">
        <v>15</v>
      </c>
    </row>
    <row r="5" spans="1:18" x14ac:dyDescent="0.2">
      <c r="A5" t="s">
        <v>21</v>
      </c>
      <c r="C5" t="s">
        <v>22</v>
      </c>
      <c r="D5">
        <v>1</v>
      </c>
      <c r="E5">
        <v>1</v>
      </c>
      <c r="F5">
        <v>1</v>
      </c>
      <c r="G5">
        <v>273</v>
      </c>
      <c r="H5">
        <v>5081</v>
      </c>
      <c r="I5">
        <v>648</v>
      </c>
      <c r="J5">
        <v>21</v>
      </c>
      <c r="L5">
        <v>7202</v>
      </c>
      <c r="M5">
        <v>7202</v>
      </c>
      <c r="N5">
        <v>7202</v>
      </c>
      <c r="O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79FF-BB51-4E30-A8D2-D8BDCA853A28}">
  <dimension ref="A1:G4"/>
  <sheetViews>
    <sheetView workbookViewId="0">
      <selection sqref="A1:XFD4"/>
    </sheetView>
  </sheetViews>
  <sheetFormatPr baseColWidth="10" defaultColWidth="8.83203125" defaultRowHeight="15" x14ac:dyDescent="0.2"/>
  <sheetData>
    <row r="1" spans="1:7" x14ac:dyDescent="0.2">
      <c r="A1" t="s">
        <v>26</v>
      </c>
      <c r="B1" t="s">
        <v>3</v>
      </c>
      <c r="C1" s="1" t="s">
        <v>27</v>
      </c>
      <c r="D1">
        <v>1159078</v>
      </c>
      <c r="E1">
        <v>1160604</v>
      </c>
      <c r="F1" s="1" t="s">
        <v>28</v>
      </c>
      <c r="G1" t="s">
        <v>5</v>
      </c>
    </row>
    <row r="2" spans="1:7" x14ac:dyDescent="0.2">
      <c r="A2" t="s">
        <v>26</v>
      </c>
      <c r="B2" t="s">
        <v>10</v>
      </c>
      <c r="C2" s="1" t="s">
        <v>27</v>
      </c>
      <c r="D2">
        <v>1160655</v>
      </c>
      <c r="E2">
        <v>1162382</v>
      </c>
      <c r="F2" s="1" t="s">
        <v>28</v>
      </c>
      <c r="G2" t="s">
        <v>12</v>
      </c>
    </row>
    <row r="3" spans="1:7" x14ac:dyDescent="0.2">
      <c r="A3" t="s">
        <v>26</v>
      </c>
      <c r="B3" t="s">
        <v>15</v>
      </c>
      <c r="C3" s="1" t="s">
        <v>27</v>
      </c>
      <c r="D3">
        <v>1162466</v>
      </c>
      <c r="E3">
        <v>1170349</v>
      </c>
      <c r="F3" s="1" t="s">
        <v>28</v>
      </c>
      <c r="G3" t="s">
        <v>17</v>
      </c>
    </row>
    <row r="4" spans="1:7" x14ac:dyDescent="0.2">
      <c r="A4" t="s">
        <v>26</v>
      </c>
      <c r="B4" t="s">
        <v>20</v>
      </c>
      <c r="C4" s="1" t="s">
        <v>27</v>
      </c>
      <c r="D4">
        <v>1170396</v>
      </c>
      <c r="E4">
        <v>1177598</v>
      </c>
      <c r="F4" s="1" t="s">
        <v>28</v>
      </c>
      <c r="G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1736-7FDF-485A-99F6-2832F2DCD59A}">
  <dimension ref="A1:R5"/>
  <sheetViews>
    <sheetView workbookViewId="0">
      <selection activeCell="E17" sqref="E17"/>
    </sheetView>
  </sheetViews>
  <sheetFormatPr baseColWidth="10" defaultColWidth="8.83203125" defaultRowHeight="15" x14ac:dyDescent="0.2"/>
  <sheetData>
    <row r="1" spans="1:18" x14ac:dyDescent="0.2">
      <c r="A1" s="3" t="s">
        <v>75</v>
      </c>
      <c r="B1" s="3" t="s">
        <v>0</v>
      </c>
      <c r="C1" s="3" t="s">
        <v>1</v>
      </c>
      <c r="D1" s="3" t="s">
        <v>76</v>
      </c>
      <c r="E1" s="3" t="s">
        <v>77</v>
      </c>
      <c r="F1" s="3" t="s">
        <v>78</v>
      </c>
      <c r="G1" s="3" t="s">
        <v>57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4" t="s">
        <v>2</v>
      </c>
    </row>
    <row r="2" spans="1:18" x14ac:dyDescent="0.2">
      <c r="A2" s="2" t="s">
        <v>29</v>
      </c>
      <c r="B2" s="2" t="s">
        <v>6</v>
      </c>
      <c r="C2" s="2" t="s">
        <v>7</v>
      </c>
      <c r="D2" s="2" t="s">
        <v>28</v>
      </c>
      <c r="E2" s="2" t="s">
        <v>27</v>
      </c>
      <c r="F2" s="2" t="s">
        <v>5</v>
      </c>
      <c r="G2" s="2" t="s">
        <v>4</v>
      </c>
      <c r="H2" s="2"/>
      <c r="I2" s="2" t="s">
        <v>30</v>
      </c>
      <c r="J2" s="2" t="str">
        <f>HYPERLINK("http://eggnogdb.embl.de/#/app/results?target_nogs=COG1020","COG1020")</f>
        <v>COG1020</v>
      </c>
      <c r="K2" s="2" t="s">
        <v>9</v>
      </c>
      <c r="L2" s="2" t="s">
        <v>8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>
        <f t="shared" ref="R2:R5" si="0">(1 - LEN(SUBSTITUTE(SUBSTITUTE(P2,"G",""),"C",""))/LEN(P2)) * 100</f>
        <v>76.555337262606415</v>
      </c>
    </row>
    <row r="3" spans="1:18" x14ac:dyDescent="0.2">
      <c r="A3" s="2" t="s">
        <v>36</v>
      </c>
      <c r="B3" s="2" t="s">
        <v>13</v>
      </c>
      <c r="C3" s="2" t="s">
        <v>14</v>
      </c>
      <c r="D3" s="2" t="s">
        <v>28</v>
      </c>
      <c r="E3" s="2" t="s">
        <v>27</v>
      </c>
      <c r="F3" s="2" t="s">
        <v>12</v>
      </c>
      <c r="G3" s="2" t="s">
        <v>11</v>
      </c>
      <c r="H3" s="2"/>
      <c r="I3" s="2" t="s">
        <v>37</v>
      </c>
      <c r="J3" s="2" t="str">
        <f>HYPERLINK("http://eggnogdb.embl.de/#/app/results?target_nogs=COG1020","COG1020")</f>
        <v>COG1020</v>
      </c>
      <c r="K3" s="2" t="s">
        <v>9</v>
      </c>
      <c r="L3" s="2" t="s">
        <v>8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>
        <f t="shared" si="0"/>
        <v>77.662037037037038</v>
      </c>
    </row>
    <row r="4" spans="1:18" x14ac:dyDescent="0.2">
      <c r="A4" s="2" t="s">
        <v>43</v>
      </c>
      <c r="B4" s="2" t="s">
        <v>18</v>
      </c>
      <c r="C4" s="2" t="s">
        <v>19</v>
      </c>
      <c r="D4" s="2" t="s">
        <v>28</v>
      </c>
      <c r="E4" s="2" t="s">
        <v>27</v>
      </c>
      <c r="F4" s="2" t="s">
        <v>17</v>
      </c>
      <c r="G4" s="2" t="s">
        <v>16</v>
      </c>
      <c r="H4" s="2"/>
      <c r="I4" s="2" t="s">
        <v>44</v>
      </c>
      <c r="J4" s="2" t="str">
        <f>HYPERLINK("http://eggnogdb.embl.de/#/app/results?target_nogs=COG1020","COG1020")</f>
        <v>COG1020</v>
      </c>
      <c r="K4" s="2" t="s">
        <v>9</v>
      </c>
      <c r="L4" s="2" t="s">
        <v>8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>
        <f t="shared" si="0"/>
        <v>75.963977676306456</v>
      </c>
    </row>
    <row r="5" spans="1:18" x14ac:dyDescent="0.2">
      <c r="A5" s="2" t="s">
        <v>50</v>
      </c>
      <c r="B5" s="2" t="s">
        <v>23</v>
      </c>
      <c r="C5" s="2" t="s">
        <v>24</v>
      </c>
      <c r="D5" s="2" t="s">
        <v>28</v>
      </c>
      <c r="E5" s="2" t="s">
        <v>27</v>
      </c>
      <c r="F5" s="2" t="s">
        <v>22</v>
      </c>
      <c r="G5" s="2" t="s">
        <v>21</v>
      </c>
      <c r="H5" s="2"/>
      <c r="I5" s="2" t="s">
        <v>51</v>
      </c>
      <c r="J5" s="2" t="str">
        <f>HYPERLINK("http://eggnogdb.embl.de/#/app/results?target_nogs=COG1020","COG1020")</f>
        <v>COG1020</v>
      </c>
      <c r="K5" s="2" t="s">
        <v>9</v>
      </c>
      <c r="L5" s="2" t="s">
        <v>8</v>
      </c>
      <c r="M5" s="2" t="s">
        <v>52</v>
      </c>
      <c r="N5" s="2" t="s">
        <v>53</v>
      </c>
      <c r="O5" s="2" t="s">
        <v>54</v>
      </c>
      <c r="P5" s="2" t="s">
        <v>55</v>
      </c>
      <c r="Q5" s="2" t="s">
        <v>56</v>
      </c>
      <c r="R5">
        <f t="shared" si="0"/>
        <v>76.093294460641403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4A5-6B6D-4216-B7DC-1E16A0D3F7AA}">
  <dimension ref="A1:A4"/>
  <sheetViews>
    <sheetView workbookViewId="0">
      <selection activeCell="E14" sqref="E14"/>
    </sheetView>
  </sheetViews>
  <sheetFormatPr baseColWidth="10" defaultColWidth="8.83203125" defaultRowHeight="15" x14ac:dyDescent="0.2"/>
  <sheetData>
    <row r="1" spans="1:1" x14ac:dyDescent="0.2">
      <c r="A1" t="s">
        <v>3</v>
      </c>
    </row>
    <row r="2" spans="1:1" x14ac:dyDescent="0.2">
      <c r="A2" t="s">
        <v>10</v>
      </c>
    </row>
    <row r="3" spans="1:1" x14ac:dyDescent="0.2">
      <c r="A3" t="s">
        <v>15</v>
      </c>
    </row>
    <row r="4" spans="1:1" x14ac:dyDescent="0.2">
      <c r="A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58BE-F71F-4B65-A305-09383C8F9994}">
  <dimension ref="A1:G2"/>
  <sheetViews>
    <sheetView workbookViewId="0">
      <selection activeCell="G16" sqref="G16"/>
    </sheetView>
  </sheetViews>
  <sheetFormatPr baseColWidth="10" defaultColWidth="8.83203125" defaultRowHeight="15" x14ac:dyDescent="0.2"/>
  <sheetData>
    <row r="1" spans="1:7" x14ac:dyDescent="0.2">
      <c r="A1" t="s">
        <v>94</v>
      </c>
      <c r="B1" t="s">
        <v>77</v>
      </c>
      <c r="C1" t="s">
        <v>95</v>
      </c>
      <c r="D1" t="s">
        <v>96</v>
      </c>
      <c r="E1" t="s">
        <v>97</v>
      </c>
      <c r="F1" t="s">
        <v>98</v>
      </c>
    </row>
    <row r="2" spans="1:7" x14ac:dyDescent="0.2">
      <c r="A2" t="s">
        <v>89</v>
      </c>
      <c r="B2" t="s">
        <v>93</v>
      </c>
      <c r="C2" s="5">
        <v>1132928</v>
      </c>
      <c r="D2" s="5">
        <v>1205539</v>
      </c>
      <c r="E2" t="s">
        <v>90</v>
      </c>
      <c r="F2" t="s">
        <v>91</v>
      </c>
      <c r="G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Roary</vt:lpstr>
      <vt:lpstr>Prokka</vt:lpstr>
      <vt:lpstr>eggnog</vt:lpstr>
      <vt:lpstr>KEGG</vt:lpstr>
      <vt:lpstr>antiSMASH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Aileen Custodio</dc:creator>
  <cp:lastModifiedBy>Zach Lara</cp:lastModifiedBy>
  <dcterms:created xsi:type="dcterms:W3CDTF">2026-10-09T03:33:28Z</dcterms:created>
  <dcterms:modified xsi:type="dcterms:W3CDTF">2026-10-12T03:14:20Z</dcterms:modified>
</cp:coreProperties>
</file>